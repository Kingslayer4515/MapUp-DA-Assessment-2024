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itya Rana\Desktop\MapUp-DA-Assessment-2024\"/>
    </mc:Choice>
  </mc:AlternateContent>
  <bookViews>
    <workbookView xWindow="0" yWindow="504" windowWidth="29400" windowHeight="1629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A">Task_5!$B$10:$J$10</definedName>
    <definedName name="B">Task_5!$B$11:$J$11</definedName>
    <definedName name="C_">Task_5!$B$12:$J$12</definedName>
    <definedName name="D">Task_5!$B$13:$J$13</definedName>
    <definedName name="E">Task_5!$B$14:$J$14</definedName>
    <definedName name="F">Task_5!$B$15:$J$15</definedName>
    <definedName name="G">Task_5!$B$16:$J$16</definedName>
    <definedName name="H">Task_5!$B$17:$J$17</definedName>
    <definedName name="I">Task_5!$B$18:$J$18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B6" i="19" a="1"/>
  <c r="B6" i="19" s="1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D6" i="18"/>
  <c r="E6" i="18"/>
  <c r="F6" i="18"/>
  <c r="C6" i="18"/>
  <c r="B6" i="18"/>
  <c r="B30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  <c r="B28" i="18" l="1"/>
  <c r="B29" i="18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<sst xmlns="http://schemas.openxmlformats.org/spreadsheetml/2006/main" count="408" uniqueCount="185">
  <si>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</si>
  <si>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</si>
  <si>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</si>
  <si>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</si>
  <si>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</si>
  <si>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</si>
  <si>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</si>
  <si>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</si>
  <si>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</si>
  <si>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</si>
  <si>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</si>
  <si>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</si>
  <si>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</si>
  <si>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</si>
  <si>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</si>
  <si>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</si>
  <si>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</si>
  <si>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</si>
  <si>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</si>
  <si>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</si>
  <si>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</si>
  <si>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</si>
  <si>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</si>
  <si>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</si>
  <si>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</si>
  <si>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</si>
  <si>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</si>
  <si>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</si>
  <si>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</si>
  <si>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</si>
  <si>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</si>
  <si>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</si>
  <si>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</si>
  <si>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</si>
  <si>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</si>
  <si>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</si>
  <si>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</si>
  <si>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</si>
  <si>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</si>
  <si>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</si>
  <si>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</si>
  <si>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</si>
  <si>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</si>
  <si>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</si>
  <si>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</si>
  <si>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</si>
  <si>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</si>
  <si>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</si>
  <si>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</si>
  <si>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</si>
  <si>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</si>
  <si>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</si>
  <si>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</si>
  <si>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</si>
  <si>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</si>
  <si>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</si>
  <si>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</si>
  <si>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</si>
  <si>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</si>
  <si>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</si>
  <si>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</si>
  <si>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</si>
  <si>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</si>
  <si>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</si>
  <si>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</si>
  <si>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</si>
  <si>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</si>
  <si>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</si>
  <si>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</si>
  <si>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</si>
  <si>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</si>
  <si>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</si>
  <si>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</si>
  <si>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</si>
  <si>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</si>
  <si>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</si>
  <si>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</si>
  <si>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</si>
  <si>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</si>
  <si>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</si>
  <si>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</si>
  <si>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</si>
  <si>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</si>
  <si>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</si>
  <si>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</si>
  <si>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</si>
  <si>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</si>
  <si>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</si>
  <si>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</si>
  <si>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</si>
  <si>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</si>
  <si>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</si>
  <si>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</si>
  <si>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</si>
  <si>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</si>
  <si>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</si>
  <si>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</si>
  <si>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</si>
  <si>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</si>
  <si>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</si>
  <si>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</si>
  <si>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</si>
  <si>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</si>
  <si>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</si>
  <si>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</si>
  <si>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</si>
  <si>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</si>
  <si>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</si>
  <si>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</si>
  <si>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</si>
  <si>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</si>
  <si>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</si>
  <si>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</si>
  <si>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</si>
  <si>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</si>
  <si>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</si>
  <si>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</si>
  <si>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</si>
  <si>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</si>
  <si>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</si>
  <si>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</si>
  <si>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</si>
  <si>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</si>
  <si>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</si>
  <si>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</si>
  <si>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</si>
  <si>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</si>
  <si>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</si>
  <si>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</si>
  <si>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</si>
  <si>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</si>
  <si>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</si>
  <si>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</si>
  <si>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</si>
  <si>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</si>
  <si>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</si>
  <si>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</si>
  <si>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</si>
  <si>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</si>
  <si>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</si>
  <si>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</si>
  <si>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</si>
  <si>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</si>
  <si>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</si>
  <si>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</si>
  <si>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</si>
  <si>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</si>
  <si>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</si>
  <si>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</si>
  <si>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</si>
  <si>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</si>
  <si>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</si>
  <si>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</si>
  <si>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</si>
  <si>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</si>
  <si>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</si>
  <si>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</si>
  <si>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</si>
  <si>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</si>
  <si>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</si>
  <si>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</si>
  <si>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</si>
  <si>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</si>
  <si>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</si>
  <si>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</si>
  <si>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</si>
  <si>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</si>
  <si>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</si>
  <si>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</si>
  <si>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</si>
  <si>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</si>
  <si>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</si>
  <si>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</si>
  <si>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</si>
  <si>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</si>
  <si>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</si>
  <si>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</si>
  <si>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SUM=</t>
  </si>
  <si>
    <t>(=SUMIF(H1:H40, "&gt;20")</t>
  </si>
  <si>
    <t>Text to Columns</t>
  </si>
  <si>
    <t>The Text to Columns feature in Excel allows you to split the contents of a cell into multiple cells based on a specified delimiter. In this case, the delimiter used is a hyphen (-). By selecting the cells containing the concatenated values, navigating to the Data tab, and choosing Text to Columns, the values were separated into distinct columns.</t>
  </si>
  <si>
    <t>(=SUM(IF(ISNA(C12:C21), 20, C12:C21))</t>
  </si>
  <si>
    <t>The formula =SUM(IF(ISNA(C12:C21), 20, C12:C21)) is designed to calculate the sum of values in the range C12:C21, replacing any #N/A errors with the value 20. It works by first using the ISNA function to check if each cell in the range contains an #N/A error. If an error is found, the IF function replaces it with 20; otherwise, it keeps the original value. The SUM function then adds up all these adjusted values, ensuring that any #N/A values don't disrupt the total</t>
  </si>
  <si>
    <t xml:space="preserve"> =INDEX($B$10:$J$18, MATCH(VLOOKUP(A23, $M$10:$N$18, 2, FALSE), $A$10:$A$18, 0), MATCH(VLOOKUP(B23, $M$10:$N$18, 2, FALSE), $B$9:$J$9, 0))
</t>
  </si>
  <si>
    <t>To complete the task of filling in the "value" column in Table_C, the approach involves using a combination of Excel functions like VLOOKUP, MATCH, and INDEX. First, VLOOKUP is utilized to match the IDs in the "name_1" and "name_2" columns of Table_C with the corresponding names found in Table_B. This helps to identify the row and column names needed for the lookup in Table_A. Next, the MATCH function is used to determine the exact row and column positions based on the names obtained from VLOOKUP, allowing precise identification of the cell location within Table_A. Finally, the INDEX function retrieves the value from Table_A by combining the row and column indices identified earlier. This process ensures that each pair of IDs in Table_C is accurately translated into the correct value from Table_A, completing the required data mapping.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</si>
</sst>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2" fillId="5" borderId="0" xfId="0" applyFont="1" applyFill="1"/>
    <xf numFmtId="0" fontId="8" fillId="0" borderId="0" xfId="0" applyFont="1" applyAlignment="1">
      <alignment horizontal="center"/>
    </xf>
    <xf numFmtId="0" fontId="3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D17" sqref="D17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="93" zoomScaleNormal="100" workbookViewId="0">
      <pane ySplit="1" topLeftCell="A18" activePane="bottomLeft" state="frozen"/>
      <selection pane="bottomLeft" activeCell="AB15" sqref="AB1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">
      <c r="G42" s="1" t="s">
        <v>177</v>
      </c>
      <c r="H42" s="1">
        <f>SUMIF(H1:H40, "&gt;20")</f>
        <v>1473.0000000000002</v>
      </c>
    </row>
  </sheetData>
  <conditionalFormatting sqref="A1:C1048576 E1:XFD1048576">
    <cfRule type="expression" dxfId="2" priority="3">
      <formula>AND(ISNUMBER(A1), A1=0, NOT(_xlfn.ISFORMULA(A1)), TEXT(A1,"[h]:mm:ss")&lt;&gt;A1)</formula>
    </cfRule>
  </conditionalFormatting>
  <conditionalFormatting sqref="K20">
    <cfRule type="expression" dxfId="1" priority="2" stopIfTrue="1">
      <formula>AND(ISNUMBER(A1), A1=-1)</formula>
    </cfRule>
  </conditionalFormatting>
  <conditionalFormatting sqref="A1:XFD1048576">
    <cfRule type="expression" dxfId="0" priority="1">
      <formula>AND(ISNUMBER(A1), A1=-1)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D12" sqref="D1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I28" sqref="I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INDEX(Dataset!$C$2:$X$100, MATCH($A6, Dataset!$A$2:$A$100, 0), MATCH(B$5, Dataset!$C$1:$X$1, 0))</f>
        <v>2.7</v>
      </c>
      <c r="C6" s="11">
        <f>INDEX(Dataset!$C$2:$X$100, MATCH($A6, Dataset!$A$2:$A$100, 0), MATCH(C$5, Dataset!$C$1:$X$1, 0))</f>
        <v>7.6</v>
      </c>
      <c r="D6" s="11">
        <f>INDEX(Dataset!$C$2:$X$100, MATCH($A6, Dataset!$A$2:$A$100, 0), MATCH(D$5, Dataset!$C$1:$X$1, 0))</f>
        <v>4.2</v>
      </c>
      <c r="E6" s="11">
        <f>INDEX(Dataset!$C$2:$X$100, MATCH($A6, Dataset!$A$2:$A$100, 0), MATCH(E$5, Dataset!$C$1:$X$1, 0))</f>
        <v>8.9</v>
      </c>
      <c r="F6" s="11">
        <f>INDEX(Dataset!$C$2:$X$100, MATCH($A6, Dataset!$A$2:$A$100, 0), MATCH(F$5, Dataset!$C$1:$X$1, 0))</f>
        <v>4.2</v>
      </c>
    </row>
    <row r="7" spans="1:7" ht="14.4" x14ac:dyDescent="0.3">
      <c r="A7" s="7" t="s">
        <v>4</v>
      </c>
      <c r="B7" s="11">
        <f>INDEX(Dataset!$C$2:$X$100, MATCH(A7, Dataset!$A$2:$A$100, 0), MATCH(B$5, Dataset!$C$1:$X$1, 0))</f>
        <v>2.7</v>
      </c>
      <c r="C7" s="11">
        <f>INDEX(Dataset!$C$2:$X$100, MATCH($A7, Dataset!$A$2:$A$100, 0), MATCH(C$5, Dataset!$C$1:$X$1, 0))</f>
        <v>7.6</v>
      </c>
      <c r="D7" s="11">
        <f>INDEX(Dataset!$C$2:$X$100, MATCH($A7, Dataset!$A$2:$A$100, 0), MATCH(D$5, Dataset!$C$1:$X$1, 0))</f>
        <v>4.2</v>
      </c>
      <c r="E7" s="11">
        <f>INDEX(Dataset!$C$2:$X$100, MATCH($A7, Dataset!$A$2:$A$100, 0), MATCH(E$5, Dataset!$C$1:$X$1, 0))</f>
        <v>8.9</v>
      </c>
      <c r="F7" s="11">
        <f>INDEX(Dataset!$C$2:$X$100, MATCH($A7, Dataset!$A$2:$A$100, 0), MATCH(F$5, Dataset!$C$1:$X$1, 0))</f>
        <v>4.2</v>
      </c>
    </row>
    <row r="8" spans="1:7" ht="14.4" x14ac:dyDescent="0.3">
      <c r="A8" s="7" t="s">
        <v>7</v>
      </c>
      <c r="B8" s="11">
        <f>INDEX(Dataset!$C$2:$X$100, MATCH(A8, Dataset!$A$2:$A$100, 0), MATCH(B$5, Dataset!$C$1:$X$1, 0))</f>
        <v>3.6</v>
      </c>
      <c r="C8" s="11">
        <f>INDEX(Dataset!$C$2:$X$100, MATCH($A8, Dataset!$A$2:$A$100, 0), MATCH(C$5, Dataset!$C$1:$X$1, 0))</f>
        <v>11.1</v>
      </c>
      <c r="D8" s="11">
        <f>INDEX(Dataset!$C$2:$X$100, MATCH($A8, Dataset!$A$2:$A$100, 0), MATCH(D$5, Dataset!$C$1:$X$1, 0))</f>
        <v>5.8</v>
      </c>
      <c r="E8" s="11">
        <f>INDEX(Dataset!$C$2:$X$100, MATCH($A8, Dataset!$A$2:$A$100, 0), MATCH(E$5, Dataset!$C$1:$X$1, 0))</f>
        <v>12.2</v>
      </c>
      <c r="F8" s="11">
        <f>INDEX(Dataset!$C$2:$X$100, MATCH($A8, Dataset!$A$2:$A$100, 0), MATCH(F$5, Dataset!$C$1:$X$1, 0))</f>
        <v>5.8</v>
      </c>
    </row>
    <row r="9" spans="1:7" ht="14.4" x14ac:dyDescent="0.3">
      <c r="A9" s="7" t="s">
        <v>8</v>
      </c>
      <c r="B9" s="11">
        <f>INDEX(Dataset!$C$2:$X$100, MATCH(A9, Dataset!$A$2:$A$100, 0), MATCH(B$5, Dataset!$C$1:$X$1, 0))</f>
        <v>4.9000000000000004</v>
      </c>
      <c r="C9" s="11">
        <f>INDEX(Dataset!$C$2:$X$100, MATCH($A9, Dataset!$A$2:$A$100, 0), MATCH(C$5, Dataset!$C$1:$X$1, 0))</f>
        <v>13.3</v>
      </c>
      <c r="D9" s="11">
        <f>INDEX(Dataset!$C$2:$X$100, MATCH($A9, Dataset!$A$2:$A$100, 0), MATCH(D$5, Dataset!$C$1:$X$1, 0))</f>
        <v>8.1</v>
      </c>
      <c r="E9" s="11">
        <f>INDEX(Dataset!$C$2:$X$100, MATCH($A9, Dataset!$A$2:$A$100, 0), MATCH(E$5, Dataset!$C$1:$X$1, 0))</f>
        <v>17</v>
      </c>
      <c r="F9" s="11">
        <f>INDEX(Dataset!$C$2:$X$100, MATCH($A9, Dataset!$A$2:$A$100, 0), MATCH(F$5, Dataset!$C$1:$X$1, 0))</f>
        <v>8.1</v>
      </c>
    </row>
    <row r="10" spans="1:7" ht="14.4" x14ac:dyDescent="0.3">
      <c r="A10" s="7" t="s">
        <v>11</v>
      </c>
      <c r="B10" s="11">
        <f>INDEX(Dataset!$C$2:$X$100, MATCH(A10, Dataset!$A$2:$A$100, 0), MATCH(B$5, Dataset!$C$1:$X$1, 0))</f>
        <v>9.4</v>
      </c>
      <c r="C10" s="11">
        <f>INDEX(Dataset!$C$2:$X$100, MATCH($A10, Dataset!$A$2:$A$100, 0), MATCH(C$5, Dataset!$C$1:$X$1, 0))</f>
        <v>28.3</v>
      </c>
      <c r="D10" s="11">
        <f>INDEX(Dataset!$C$2:$X$100, MATCH($A10, Dataset!$A$2:$A$100, 0), MATCH(D$5, Dataset!$C$1:$X$1, 0))</f>
        <v>16.100000000000001</v>
      </c>
      <c r="E10" s="11">
        <f>INDEX(Dataset!$C$2:$X$100, MATCH($A10, Dataset!$A$2:$A$100, 0), MATCH(E$5, Dataset!$C$1:$X$1, 0))</f>
        <v>32.799999999999997</v>
      </c>
      <c r="F10" s="11">
        <f>INDEX(Dataset!$C$2:$X$100, MATCH($A10, Dataset!$A$2:$A$100, 0), MATCH(F$5, Dataset!$C$1:$X$1, 0))</f>
        <v>16.100000000000001</v>
      </c>
    </row>
    <row r="11" spans="1:7" ht="14.4" x14ac:dyDescent="0.3">
      <c r="A11" s="7" t="s">
        <v>12</v>
      </c>
      <c r="B11" s="11">
        <f>INDEX(Dataset!$C$2:$X$100, MATCH(A11, Dataset!$A$2:$A$100, 0), MATCH(B$5, Dataset!$C$1:$X$1, 0))</f>
        <v>11.6</v>
      </c>
      <c r="C11" s="11">
        <f>INDEX(Dataset!$C$2:$X$100, MATCH($A11, Dataset!$A$2:$A$100, 0), MATCH(C$5, Dataset!$C$1:$X$1, 0))</f>
        <v>35.200000000000003</v>
      </c>
      <c r="D11" s="11">
        <f>INDEX(Dataset!$C$2:$X$100, MATCH($A11, Dataset!$A$2:$A$100, 0), MATCH(D$5, Dataset!$C$1:$X$1, 0))</f>
        <v>21.3</v>
      </c>
      <c r="E11" s="11">
        <f>INDEX(Dataset!$C$2:$X$100, MATCH($A11, Dataset!$A$2:$A$100, 0), MATCH(E$5, Dataset!$C$1:$X$1, 0))</f>
        <v>43</v>
      </c>
      <c r="F11" s="11">
        <f>INDEX(Dataset!$C$2:$X$100, MATCH($A11, Dataset!$A$2:$A$100, 0), MATCH(F$5, Dataset!$C$1:$X$1, 0))</f>
        <v>21.3</v>
      </c>
    </row>
    <row r="12" spans="1:7" ht="14.4" x14ac:dyDescent="0.3">
      <c r="A12" s="7" t="s">
        <v>14</v>
      </c>
      <c r="B12" s="11">
        <f>INDEX(Dataset!$C$2:$X$100, MATCH(A12, Dataset!$A$2:$A$100, 0), MATCH(B$5, Dataset!$C$1:$X$1, 0))</f>
        <v>18.399999999999999</v>
      </c>
      <c r="C12" s="11">
        <f>INDEX(Dataset!$C$2:$X$100, MATCH($A12, Dataset!$A$2:$A$100, 0), MATCH(C$5, Dataset!$C$1:$X$1, 0))</f>
        <v>55.6</v>
      </c>
      <c r="D12" s="11">
        <f>INDEX(Dataset!$C$2:$X$100, MATCH($A12, Dataset!$A$2:$A$100, 0), MATCH(D$5, Dataset!$C$1:$X$1, 0))</f>
        <v>33.799999999999997</v>
      </c>
      <c r="E12" s="11">
        <f>INDEX(Dataset!$C$2:$X$100, MATCH($A12, Dataset!$A$2:$A$100, 0), MATCH(E$5, Dataset!$C$1:$X$1, 0))</f>
        <v>67.900000000000006</v>
      </c>
      <c r="F12" s="11">
        <f>INDEX(Dataset!$C$2:$X$100, MATCH($A12, Dataset!$A$2:$A$100, 0), MATCH(F$5, Dataset!$C$1:$X$1, 0))</f>
        <v>33.799999999999997</v>
      </c>
    </row>
    <row r="13" spans="1:7" ht="14.4" x14ac:dyDescent="0.3">
      <c r="A13" s="7" t="s">
        <v>15</v>
      </c>
      <c r="B13" s="11">
        <f>INDEX(Dataset!$C$2:$X$100, MATCH(A13, Dataset!$A$2:$A$100, 0), MATCH(B$5, Dataset!$C$1:$X$1, 0))</f>
        <v>0</v>
      </c>
      <c r="C13" s="11">
        <f>INDEX(Dataset!$C$2:$X$100, MATCH($A13, Dataset!$A$2:$A$100, 0), MATCH(C$5, Dataset!$C$1:$X$1, 0))</f>
        <v>0</v>
      </c>
      <c r="D13" s="11">
        <f>INDEX(Dataset!$C$2:$X$100, MATCH($A13, Dataset!$A$2:$A$100, 0), MATCH(D$5, Dataset!$C$1:$X$1, 0))</f>
        <v>0</v>
      </c>
      <c r="E13" s="11">
        <f>INDEX(Dataset!$C$2:$X$100, MATCH($A13, Dataset!$A$2:$A$100, 0), MATCH(E$5, Dataset!$C$1:$X$1, 0))</f>
        <v>0</v>
      </c>
      <c r="F13" s="11">
        <f>INDEX(Dataset!$C$2:$X$100, MATCH($A13, Dataset!$A$2:$A$100, 0), MATCH(F$5, Dataset!$C$1:$X$1, 0))</f>
        <v>0</v>
      </c>
    </row>
    <row r="14" spans="1:7" ht="14.4" x14ac:dyDescent="0.3">
      <c r="A14" s="7" t="s">
        <v>16</v>
      </c>
      <c r="B14" s="11">
        <f>INDEX(Dataset!$C$2:$X$100, MATCH(A14, Dataset!$A$2:$A$100, 0), MATCH(B$5, Dataset!$C$1:$X$1, 0))</f>
        <v>21.9</v>
      </c>
      <c r="C14" s="11">
        <f>INDEX(Dataset!$C$2:$X$100, MATCH($A14, Dataset!$A$2:$A$100, 0), MATCH(C$5, Dataset!$C$1:$X$1, 0))</f>
        <v>61.5</v>
      </c>
      <c r="D14" s="11">
        <f>INDEX(Dataset!$C$2:$X$100, MATCH($A14, Dataset!$A$2:$A$100, 0), MATCH(D$5, Dataset!$C$1:$X$1, 0))</f>
        <v>40.1</v>
      </c>
      <c r="E14" s="11">
        <f>INDEX(Dataset!$C$2:$X$100, MATCH($A14, Dataset!$A$2:$A$100, 0), MATCH(E$5, Dataset!$C$1:$X$1, 0))</f>
        <v>76.599999999999994</v>
      </c>
      <c r="F14" s="11">
        <f>INDEX(Dataset!$C$2:$X$100, MATCH($A14, Dataset!$A$2:$A$100, 0), MATCH(F$5, Dataset!$C$1:$X$1, 0))</f>
        <v>40.1</v>
      </c>
    </row>
    <row r="15" spans="1:7" ht="14.4" x14ac:dyDescent="0.3">
      <c r="A15" s="7" t="s">
        <v>18</v>
      </c>
      <c r="B15" s="11">
        <f>INDEX(Dataset!$C$2:$X$100, MATCH(A15, Dataset!$A$2:$A$100, 0), MATCH(B$5, Dataset!$C$1:$X$1, 0))</f>
        <v>26.8</v>
      </c>
      <c r="C15" s="11">
        <f>INDEX(Dataset!$C$2:$X$100, MATCH($A15, Dataset!$A$2:$A$100, 0), MATCH(C$5, Dataset!$C$1:$X$1, 0))</f>
        <v>79.599999999999994</v>
      </c>
      <c r="D15" s="11">
        <f>INDEX(Dataset!$C$2:$X$100, MATCH($A15, Dataset!$A$2:$A$100, 0), MATCH(D$5, Dataset!$C$1:$X$1, 0))</f>
        <v>47.9</v>
      </c>
      <c r="E15" s="11">
        <f>INDEX(Dataset!$C$2:$X$100, MATCH($A15, Dataset!$A$2:$A$100, 0), MATCH(E$5, Dataset!$C$1:$X$1, 0))</f>
        <v>96.8</v>
      </c>
      <c r="F15" s="11">
        <f>INDEX(Dataset!$C$2:$X$100, MATCH($A15, Dataset!$A$2:$A$100, 0), MATCH(F$5, Dataset!$C$1:$X$1, 0))</f>
        <v>47.9</v>
      </c>
    </row>
    <row r="16" spans="1:7" ht="14.4" x14ac:dyDescent="0.3">
      <c r="A16" s="7" t="s">
        <v>20</v>
      </c>
      <c r="B16" s="11">
        <f>INDEX(Dataset!$C$2:$X$100, MATCH(A16, Dataset!$A$2:$A$100, 0), MATCH(B$5, Dataset!$C$1:$X$1, 0))</f>
        <v>28.5</v>
      </c>
      <c r="C16" s="11">
        <f>INDEX(Dataset!$C$2:$X$100, MATCH($A16, Dataset!$A$2:$A$100, 0), MATCH(C$5, Dataset!$C$1:$X$1, 0))</f>
        <v>85.4</v>
      </c>
      <c r="D16" s="11">
        <f>INDEX(Dataset!$C$2:$X$100, MATCH($A16, Dataset!$A$2:$A$100, 0), MATCH(D$5, Dataset!$C$1:$X$1, 0))</f>
        <v>52.3</v>
      </c>
      <c r="E16" s="11">
        <f>INDEX(Dataset!$C$2:$X$100, MATCH($A16, Dataset!$A$2:$A$100, 0), MATCH(E$5, Dataset!$C$1:$X$1, 0))</f>
        <v>106.1</v>
      </c>
      <c r="F16" s="11">
        <f>INDEX(Dataset!$C$2:$X$100, MATCH($A16, Dataset!$A$2:$A$100, 0), MATCH(F$5, Dataset!$C$1:$X$1, 0))</f>
        <v>52.3</v>
      </c>
    </row>
    <row r="17" spans="1:6" ht="14.4" x14ac:dyDescent="0.3">
      <c r="A17" s="7" t="s">
        <v>22</v>
      </c>
      <c r="B17" s="11">
        <f>INDEX(Dataset!$C$2:$X$100, MATCH(A17, Dataset!$A$2:$A$100, 0), MATCH(B$5, Dataset!$C$1:$X$1, 0))</f>
        <v>30.7</v>
      </c>
      <c r="C17" s="11">
        <f>INDEX(Dataset!$C$2:$X$100, MATCH($A17, Dataset!$A$2:$A$100, 0), MATCH(C$5, Dataset!$C$1:$X$1, 0))</f>
        <v>92.1</v>
      </c>
      <c r="D17" s="11">
        <f>INDEX(Dataset!$C$2:$X$100, MATCH($A17, Dataset!$A$2:$A$100, 0), MATCH(D$5, Dataset!$C$1:$X$1, 0))</f>
        <v>57</v>
      </c>
      <c r="E17" s="11">
        <f>INDEX(Dataset!$C$2:$X$100, MATCH($A17, Dataset!$A$2:$A$100, 0), MATCH(E$5, Dataset!$C$1:$X$1, 0))</f>
        <v>115.1</v>
      </c>
      <c r="F17" s="11">
        <f>INDEX(Dataset!$C$2:$X$100, MATCH($A17, Dataset!$A$2:$A$100, 0), MATCH(F$5, Dataset!$C$1:$X$1, 0))</f>
        <v>57</v>
      </c>
    </row>
    <row r="18" spans="1:6" ht="14.4" x14ac:dyDescent="0.3">
      <c r="A18" s="7" t="s">
        <v>23</v>
      </c>
      <c r="B18" s="11">
        <f>INDEX(Dataset!$C$2:$X$100, MATCH(A18, Dataset!$A$2:$A$100, 0), MATCH(B$5, Dataset!$C$1:$X$1, 0))</f>
        <v>33.799999999999997</v>
      </c>
      <c r="C18" s="11">
        <f>INDEX(Dataset!$C$2:$X$100, MATCH($A18, Dataset!$A$2:$A$100, 0), MATCH(C$5, Dataset!$C$1:$X$1, 0))</f>
        <v>101.3</v>
      </c>
      <c r="D18" s="11">
        <f>INDEX(Dataset!$C$2:$X$100, MATCH($A18, Dataset!$A$2:$A$100, 0), MATCH(D$5, Dataset!$C$1:$X$1, 0))</f>
        <v>61.4</v>
      </c>
      <c r="E18" s="11">
        <f>INDEX(Dataset!$C$2:$X$100, MATCH($A18, Dataset!$A$2:$A$100, 0), MATCH(E$5, Dataset!$C$1:$X$1, 0))</f>
        <v>124.4</v>
      </c>
      <c r="F18" s="11">
        <f>INDEX(Dataset!$C$2:$X$100, MATCH($A18, Dataset!$A$2:$A$100, 0), MATCH(F$5, Dataset!$C$1:$X$1, 0))</f>
        <v>61.4</v>
      </c>
    </row>
    <row r="19" spans="1:6" ht="14.4" x14ac:dyDescent="0.3">
      <c r="A19" s="7" t="s">
        <v>24</v>
      </c>
      <c r="B19" s="11">
        <f>INDEX(Dataset!$C$2:$X$100, MATCH(A19, Dataset!$A$2:$A$100, 0), MATCH(B$5, Dataset!$C$1:$X$1, 0))</f>
        <v>34.700000000000003</v>
      </c>
      <c r="C19" s="11">
        <f>INDEX(Dataset!$C$2:$X$100, MATCH($A19, Dataset!$A$2:$A$100, 0), MATCH(C$5, Dataset!$C$1:$X$1, 0))</f>
        <v>106.1</v>
      </c>
      <c r="D19" s="11">
        <f>INDEX(Dataset!$C$2:$X$100, MATCH($A19, Dataset!$A$2:$A$100, 0), MATCH(D$5, Dataset!$C$1:$X$1, 0))</f>
        <v>63.6</v>
      </c>
      <c r="E19" s="11">
        <f>INDEX(Dataset!$C$2:$X$100, MATCH($A19, Dataset!$A$2:$A$100, 0), MATCH(E$5, Dataset!$C$1:$X$1, 0))</f>
        <v>128.6</v>
      </c>
      <c r="F19" s="11">
        <f>INDEX(Dataset!$C$2:$X$100, MATCH($A19, Dataset!$A$2:$A$100, 0), MATCH(F$5, Dataset!$C$1:$X$1, 0))</f>
        <v>63.6</v>
      </c>
    </row>
    <row r="20" spans="1:6" ht="14.4" x14ac:dyDescent="0.3">
      <c r="A20" s="7" t="s">
        <v>28</v>
      </c>
      <c r="B20" s="11">
        <f>INDEX(Dataset!$C$2:$X$100, MATCH(A20, Dataset!$A$2:$A$100, 0), MATCH(B$5, Dataset!$C$1:$X$1, 0))</f>
        <v>0</v>
      </c>
      <c r="C20" s="11">
        <f>INDEX(Dataset!$C$2:$X$100, MATCH($A20, Dataset!$A$2:$A$100, 0), MATCH(C$5, Dataset!$C$1:$X$1, 0))</f>
        <v>0</v>
      </c>
      <c r="D20" s="11">
        <f>INDEX(Dataset!$C$2:$X$100, MATCH($A20, Dataset!$A$2:$A$100, 0), MATCH(D$5, Dataset!$C$1:$X$1, 0))</f>
        <v>0</v>
      </c>
      <c r="E20" s="11">
        <f>INDEX(Dataset!$C$2:$X$100, MATCH($A20, Dataset!$A$2:$A$100, 0), MATCH(E$5, Dataset!$C$1:$X$1, 0))</f>
        <v>0</v>
      </c>
      <c r="F20" s="11">
        <f>INDEX(Dataset!$C$2:$X$100, MATCH($A20, Dataset!$A$2:$A$100, 0), MATCH(F$5, Dataset!$C$1:$X$1, 0))</f>
        <v>0</v>
      </c>
    </row>
    <row r="21" spans="1:6" ht="14.4" x14ac:dyDescent="0.3">
      <c r="A21" s="7" t="s">
        <v>57</v>
      </c>
      <c r="B21" s="11">
        <f>INDEX(Dataset!$C$2:$X$100, MATCH(A21, Dataset!$A$2:$A$100, 0), MATCH(B$5, Dataset!$C$1:$X$1, 0))</f>
        <v>41.3</v>
      </c>
      <c r="C21" s="11">
        <f>INDEX(Dataset!$C$2:$X$100, MATCH($A21, Dataset!$A$2:$A$100, 0), MATCH(C$5, Dataset!$C$1:$X$1, 0))</f>
        <v>124.4</v>
      </c>
      <c r="D21" s="11">
        <f>INDEX(Dataset!$C$2:$X$100, MATCH($A21, Dataset!$A$2:$A$100, 0), MATCH(D$5, Dataset!$C$1:$X$1, 0))</f>
        <v>75</v>
      </c>
      <c r="E21" s="11">
        <f>INDEX(Dataset!$C$2:$X$100, MATCH($A21, Dataset!$A$2:$A$100, 0), MATCH(E$5, Dataset!$C$1:$X$1, 0))</f>
        <v>151.5</v>
      </c>
      <c r="F21" s="11">
        <f>INDEX(Dataset!$C$2:$X$100, MATCH($A21, Dataset!$A$2:$A$100, 0), MATCH(F$5, Dataset!$C$1:$X$1, 0))</f>
        <v>75</v>
      </c>
    </row>
    <row r="22" spans="1:6" ht="14.4" x14ac:dyDescent="0.3">
      <c r="A22" s="7" t="s">
        <v>58</v>
      </c>
      <c r="B22" s="11">
        <f>INDEX(Dataset!$C$2:$X$100, MATCH(A22, Dataset!$A$2:$A$100, 0), MATCH(B$5, Dataset!$C$1:$X$1, 0))</f>
        <v>-1</v>
      </c>
      <c r="C22" s="11">
        <f>INDEX(Dataset!$C$2:$X$100, MATCH($A22, Dataset!$A$2:$A$100, 0), MATCH(C$5, Dataset!$C$1:$X$1, 0))</f>
        <v>-1</v>
      </c>
      <c r="D22" s="11">
        <f>INDEX(Dataset!$C$2:$X$100, MATCH($A22, Dataset!$A$2:$A$100, 0), MATCH(D$5, Dataset!$C$1:$X$1, 0))</f>
        <v>-1</v>
      </c>
      <c r="E22" s="11">
        <f>INDEX(Dataset!$C$2:$X$100, MATCH($A22, Dataset!$A$2:$A$100, 0), MATCH(E$5, Dataset!$C$1:$X$1, 0))</f>
        <v>-1</v>
      </c>
      <c r="F22" s="11">
        <f>INDEX(Dataset!$C$2:$X$100, MATCH($A22, Dataset!$A$2:$A$100, 0), MATCH(F$5, Dataset!$C$1:$X$1, 0))</f>
        <v>-1</v>
      </c>
    </row>
    <row r="23" spans="1:6" ht="14.4" x14ac:dyDescent="0.3">
      <c r="A23" s="7" t="s">
        <v>31</v>
      </c>
      <c r="B23" s="11">
        <f>INDEX(Dataset!$C$2:$X$100, MATCH(A23, Dataset!$A$2:$A$100, 0), MATCH(B$5, Dataset!$C$1:$X$1, 0))</f>
        <v>45</v>
      </c>
      <c r="C23" s="11">
        <f>INDEX(Dataset!$C$2:$X$100, MATCH($A23, Dataset!$A$2:$A$100, 0), MATCH(C$5, Dataset!$C$1:$X$1, 0))</f>
        <v>133.4</v>
      </c>
      <c r="D23" s="11">
        <f>INDEX(Dataset!$C$2:$X$100, MATCH($A23, Dataset!$A$2:$A$100, 0), MATCH(D$5, Dataset!$C$1:$X$1, 0))</f>
        <v>79.400000000000006</v>
      </c>
      <c r="E23" s="11">
        <f>INDEX(Dataset!$C$2:$X$100, MATCH($A23, Dataset!$A$2:$A$100, 0), MATCH(E$5, Dataset!$C$1:$X$1, 0))</f>
        <v>160.9</v>
      </c>
      <c r="F23" s="11">
        <f>INDEX(Dataset!$C$2:$X$100, MATCH($A23, Dataset!$A$2:$A$100, 0), MATCH(F$5, Dataset!$C$1:$X$1, 0))</f>
        <v>79.400000000000006</v>
      </c>
    </row>
    <row r="24" spans="1:6" ht="14.4" x14ac:dyDescent="0.3">
      <c r="A24" s="7" t="s">
        <v>32</v>
      </c>
      <c r="B24" s="11">
        <f>INDEX(Dataset!$C$2:$X$100, MATCH(A24, Dataset!$A$2:$A$100, 0), MATCH(B$5, Dataset!$C$1:$X$1, 0))</f>
        <v>-1</v>
      </c>
      <c r="C24" s="11">
        <f>INDEX(Dataset!$C$2:$X$100, MATCH($A24, Dataset!$A$2:$A$100, 0), MATCH(C$5, Dataset!$C$1:$X$1, 0))</f>
        <v>-1</v>
      </c>
      <c r="D24" s="11">
        <f>INDEX(Dataset!$C$2:$X$100, MATCH($A24, Dataset!$A$2:$A$100, 0), MATCH(D$5, Dataset!$C$1:$X$1, 0))</f>
        <v>-1</v>
      </c>
      <c r="E24" s="11">
        <f>INDEX(Dataset!$C$2:$X$100, MATCH($A24, Dataset!$A$2:$A$100, 0), MATCH(E$5, Dataset!$C$1:$X$1, 0))</f>
        <v>-1</v>
      </c>
      <c r="F24" s="11">
        <f>INDEX(Dataset!$C$2:$X$100, MATCH($A24, Dataset!$A$2:$A$100, 0), MATCH(F$5, Dataset!$C$1:$X$1, 0))</f>
        <v>-1</v>
      </c>
    </row>
    <row r="25" spans="1:6" ht="14.4" x14ac:dyDescent="0.3">
      <c r="A25" s="7" t="s">
        <v>34</v>
      </c>
      <c r="B25" s="11">
        <f>INDEX(Dataset!$C$2:$X$100, MATCH(A25, Dataset!$A$2:$A$100, 0), MATCH(B$5, Dataset!$C$1:$X$1, 0))</f>
        <v>43.3</v>
      </c>
      <c r="C25" s="11">
        <f>INDEX(Dataset!$C$2:$X$100, MATCH($A25, Dataset!$A$2:$A$100, 0), MATCH(C$5, Dataset!$C$1:$X$1, 0))</f>
        <v>128.6</v>
      </c>
      <c r="D25" s="11">
        <f>INDEX(Dataset!$C$2:$X$100, MATCH($A25, Dataset!$A$2:$A$100, 0), MATCH(D$5, Dataset!$C$1:$X$1, 0))</f>
        <v>79.400000000000006</v>
      </c>
      <c r="E25" s="11">
        <f>INDEX(Dataset!$C$2:$X$100, MATCH($A25, Dataset!$A$2:$A$100, 0), MATCH(E$5, Dataset!$C$1:$X$1, 0))</f>
        <v>160.9</v>
      </c>
      <c r="F25" s="11">
        <f>INDEX(Dataset!$C$2:$X$100, MATCH($A25, Dataset!$A$2:$A$100, 0), MATCH(F$5, Dataset!$C$1:$X$1, 0))</f>
        <v>79.400000000000006</v>
      </c>
    </row>
    <row r="26" spans="1:6" ht="14.4" x14ac:dyDescent="0.3">
      <c r="A26" s="7" t="s">
        <v>37</v>
      </c>
      <c r="B26" s="11">
        <f>INDEX(Dataset!$C$2:$X$100, MATCH(A26, Dataset!$A$2:$A$100, 0), MATCH(B$5, Dataset!$C$1:$X$1, 0))</f>
        <v>49.1</v>
      </c>
      <c r="C26" s="11">
        <f>INDEX(Dataset!$C$2:$X$100, MATCH($A26, Dataset!$A$2:$A$100, 0), MATCH(C$5, Dataset!$C$1:$X$1, 0))</f>
        <v>146.80000000000001</v>
      </c>
      <c r="D26" s="11">
        <f>INDEX(Dataset!$C$2:$X$100, MATCH($A26, Dataset!$A$2:$A$100, 0), MATCH(D$5, Dataset!$C$1:$X$1, 0))</f>
        <v>90.9</v>
      </c>
      <c r="E26" s="11">
        <f>INDEX(Dataset!$C$2:$X$100, MATCH($A26, Dataset!$A$2:$A$100, 0), MATCH(E$5, Dataset!$C$1:$X$1, 0))</f>
        <v>183.5</v>
      </c>
      <c r="F26" s="11">
        <f>INDEX(Dataset!$C$2:$X$100, MATCH($A26, Dataset!$A$2:$A$100, 0), MATCH(F$5, Dataset!$C$1:$X$1, 0))</f>
        <v>90.9</v>
      </c>
    </row>
    <row r="27" spans="1:6" ht="14.4" x14ac:dyDescent="0.3">
      <c r="A27" s="7" t="s">
        <v>39</v>
      </c>
      <c r="B27" s="11">
        <f>INDEX(Dataset!$C$2:$X$100, MATCH(A27, Dataset!$A$2:$A$100, 0), MATCH(B$5, Dataset!$C$1:$X$1, 0))</f>
        <v>51.8</v>
      </c>
      <c r="C27" s="11">
        <f>INDEX(Dataset!$C$2:$X$100, MATCH($A27, Dataset!$A$2:$A$100, 0), MATCH(C$5, Dataset!$C$1:$X$1, 0))</f>
        <v>156.4</v>
      </c>
      <c r="D27" s="11">
        <f>INDEX(Dataset!$C$2:$X$100, MATCH($A27, Dataset!$A$2:$A$100, 0), MATCH(D$5, Dataset!$C$1:$X$1, 0))</f>
        <v>93.1</v>
      </c>
      <c r="E27" s="11">
        <f>INDEX(Dataset!$C$2:$X$100, MATCH($A27, Dataset!$A$2:$A$100, 0), MATCH(E$5, Dataset!$C$1:$X$1, 0))</f>
        <v>188.1</v>
      </c>
      <c r="F27" s="11">
        <f>INDEX(Dataset!$C$2:$X$100, MATCH($A27, Dataset!$A$2:$A$100, 0), MATCH(F$5, Dataset!$C$1:$X$1, 0))</f>
        <v>93.1</v>
      </c>
    </row>
    <row r="28" spans="1:6" ht="14.4" x14ac:dyDescent="0.3">
      <c r="A28" s="18" t="s">
        <v>82</v>
      </c>
      <c r="B28" s="47">
        <f>MIN(B6:B27)</f>
        <v>-1</v>
      </c>
      <c r="C28" s="47">
        <f t="shared" ref="C28:F28" si="0">MIN(C6:C27)</f>
        <v>-1</v>
      </c>
      <c r="D28" s="47">
        <f t="shared" si="0"/>
        <v>-1</v>
      </c>
      <c r="E28" s="47">
        <f t="shared" si="0"/>
        <v>-1</v>
      </c>
      <c r="F28" s="47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I9" sqref="I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 t="s">
        <v>179</v>
      </c>
    </row>
    <row r="6" spans="1:10" ht="18" x14ac:dyDescent="0.35">
      <c r="A6" s="42" t="s">
        <v>152</v>
      </c>
      <c r="B6" s="39" t="s">
        <v>180</v>
      </c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E20" sqref="E2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46">
        <f t="array" ref="B6">SUM(IF(ISNA(C12:C21), 20, C12:C21))</f>
        <v>600</v>
      </c>
      <c r="C6" s="2" t="s">
        <v>181</v>
      </c>
    </row>
    <row r="7" spans="1:3" ht="14.4" x14ac:dyDescent="0.3">
      <c r="A7" s="3" t="s">
        <v>152</v>
      </c>
      <c r="B7" s="1" t="s">
        <v>182</v>
      </c>
    </row>
    <row r="10" spans="1:3" ht="23.4" x14ac:dyDescent="0.45">
      <c r="A10" s="17" t="s">
        <v>161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 t="e">
        <v>#N/A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46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6"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2" width="11" style="2"/>
    <col min="3" max="3" width="11.77734375" style="2" customWidth="1"/>
    <col min="4" max="4" width="7.5546875" style="2" customWidth="1"/>
    <col min="5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9.8" customHeight="1" x14ac:dyDescent="0.35">
      <c r="A4" s="42" t="s">
        <v>53</v>
      </c>
      <c r="B4" s="49" t="s">
        <v>183</v>
      </c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4" ht="18" x14ac:dyDescent="0.35">
      <c r="A5" s="42" t="s">
        <v>152</v>
      </c>
      <c r="B5" s="1" t="s">
        <v>184</v>
      </c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INDEX($B$10:$J$18, MATCH(VLOOKUP(A23, $M$10:$N$18, 2, FALSE), $A$10:$A$18, 0), MATCH(VLOOKUP(B23, $M$10:$N$18, 2, FALSE), $B$9:$J$9, 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INDEX($B$10:$J$18, MATCH(VLOOKUP(A24, $M$10:$N$18, 2, FALSE), $A$10:$A$18, 0), MATCH(VLOOKUP(B24, $M$10:$N$18, 2, FALSE), $B$9:$J$9, 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 t="shared" si="0"/>
        <v>480</v>
      </c>
    </row>
    <row r="35" spans="1:3" ht="14.4" x14ac:dyDescent="0.3">
      <c r="A35" s="8">
        <v>10112</v>
      </c>
      <c r="B35" s="12">
        <v>10116</v>
      </c>
      <c r="C35" s="43">
        <f t="shared" si="0"/>
        <v>105</v>
      </c>
    </row>
  </sheetData>
  <mergeCells count="1">
    <mergeCell ref="C4:L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A</vt:lpstr>
      <vt:lpstr>B</vt:lpstr>
      <vt:lpstr>C_</vt:lpstr>
      <vt:lpstr>D</vt:lpstr>
      <vt:lpstr>E</vt:lpstr>
      <vt:lpstr>F</vt:lpstr>
      <vt:lpstr>G</vt:lpstr>
      <vt:lpstr>H</vt:lpstr>
      <vt:lpstr>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Aditya Rana</cp:lastModifiedBy>
  <dcterms:created xsi:type="dcterms:W3CDTF">2015-02-10T17:33:11Z</dcterms:created>
  <dcterms:modified xsi:type="dcterms:W3CDTF">2024-10-24T05:32:59Z</dcterms:modified>
</cp:coreProperties>
</file>